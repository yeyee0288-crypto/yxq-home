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G2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这两周紧密效果好 点击全部去跑紧密 广告位头部给80%</t>
        </r>
      </text>
    </comment>
  </commentList>
</comments>
</file>

<file path=xl/sharedStrings.xml><?xml version="1.0" encoding="utf-8"?>
<sst xmlns="http://schemas.openxmlformats.org/spreadsheetml/2006/main" count="72" uniqueCount="70">
  <si>
    <t>名称</t>
  </si>
  <si>
    <t>ASIN</t>
  </si>
  <si>
    <t>上周广告费</t>
  </si>
  <si>
    <t>本周广告费</t>
  </si>
  <si>
    <t>ACOS</t>
  </si>
  <si>
    <t>推广花费占比</t>
  </si>
  <si>
    <t>广告贡献销售额</t>
  </si>
  <si>
    <t>广告转化率</t>
  </si>
  <si>
    <t>自然转化率</t>
  </si>
  <si>
    <t>广告流量</t>
  </si>
  <si>
    <t>自然流量</t>
  </si>
  <si>
    <t>广告订单数</t>
  </si>
  <si>
    <t>自然订单数</t>
  </si>
  <si>
    <t>A-F升降桌0311C-1400-B09W2HKC37- 手动-三部2026</t>
  </si>
  <si>
    <t>B09W2HKC37</t>
  </si>
  <si>
    <t>10.38%</t>
  </si>
  <si>
    <t>A-F升降桌0311C-1400-B09W2HKC37- 手动精准</t>
  </si>
  <si>
    <t>16.06%</t>
  </si>
  <si>
    <t>A-F升降桌0311C-1400-B09W2HKC37-自动置顶-三部2026</t>
  </si>
  <si>
    <t>5.03%</t>
  </si>
  <si>
    <t>A-F升降桌0311C-1400-B09W2HKC37-自动new</t>
  </si>
  <si>
    <t>14.62%</t>
  </si>
  <si>
    <t>A-F升降桌0311C-1400-B09W2HKC37- 定点节点</t>
  </si>
  <si>
    <t>7.01%</t>
  </si>
  <si>
    <t>A-F升降桌0311C-1400-B09W2HKC37- SD</t>
  </si>
  <si>
    <t>1.29%</t>
  </si>
  <si>
    <t>F-升降桌241黑腿-B09W2HKC37-手动-三部2026</t>
  </si>
  <si>
    <t>10.61%</t>
  </si>
  <si>
    <t>F-升降桌241黑腿-B09W2HKC37-自动-三部2026</t>
  </si>
  <si>
    <t>12.47%</t>
  </si>
  <si>
    <t>F-升降桌241-B09W2HKC37-品牌-三部2026</t>
  </si>
  <si>
    <t>16.36%</t>
  </si>
  <si>
    <t>H电竞桌L2BK-B08XQ4FQTP-自动-三部2026</t>
  </si>
  <si>
    <t>B08XQ4FQTP</t>
  </si>
  <si>
    <t>16.21%</t>
  </si>
  <si>
    <t>AH电竞桌L001桌-B08XQ4FQTP-自动-三部2026</t>
  </si>
  <si>
    <t>21.80%</t>
  </si>
  <si>
    <t>AH电竞桌L001桌-B08XQ4FQTP-手动phrase-三部2026</t>
  </si>
  <si>
    <t>11.76%</t>
  </si>
  <si>
    <t>A-F-0857升降桌黑-B0GMWKLQ46-自动</t>
  </si>
  <si>
    <t>B0GMWKLQ46</t>
  </si>
  <si>
    <t>/</t>
  </si>
  <si>
    <t>12.16%</t>
  </si>
  <si>
    <t>A-F0857升降桌棕-B0GMWKLQ46-手动</t>
  </si>
  <si>
    <t>18.97%</t>
  </si>
  <si>
    <t>GUN-F-手动升降桌850 B0G4D7QDS8-自动</t>
  </si>
  <si>
    <t>B0G4D7QDS8</t>
  </si>
  <si>
    <t>25.22%</t>
  </si>
  <si>
    <t>A-F0850升降桌白-B0G4D7QDS8-手动</t>
  </si>
  <si>
    <t>23.89%</t>
  </si>
  <si>
    <t>H-0844-B0FYMTT1LV-自动-三部2026</t>
  </si>
  <si>
    <t>B0FYMTT1LV</t>
  </si>
  <si>
    <t>8.51%</t>
  </si>
  <si>
    <t>H-0844-B0FYMR93VM-手动</t>
  </si>
  <si>
    <t>F-升降桌0844-B0G1YH5ZH1-自动新-三部2026</t>
  </si>
  <si>
    <t>10.50%</t>
  </si>
  <si>
    <t>A-升降桌0844-B0G1YJJRL7-phrasebroad</t>
  </si>
  <si>
    <t>19.79%</t>
  </si>
  <si>
    <t>HF-0844-B0FYMTT1LV-手动</t>
  </si>
  <si>
    <t>17.01%</t>
  </si>
  <si>
    <t>B0G1YH5ZH1</t>
  </si>
  <si>
    <t>F-升降桌0844-B0G1YH5ZH1-phrasebroad-三部2026</t>
  </si>
  <si>
    <t>9.79%</t>
  </si>
  <si>
    <t>A-F-升降桌449L22-B0DCF9BNZM-自动</t>
  </si>
  <si>
    <t>B0DCF9BNZM</t>
  </si>
  <si>
    <t>7.86%</t>
  </si>
  <si>
    <t>A-F-升降桌449L22-B0DCF9BNZM-词组</t>
  </si>
  <si>
    <t>14.80%</t>
  </si>
  <si>
    <t>H-升降桌0449-B0FRN4CJMM -自动</t>
  </si>
  <si>
    <t>有花费无销售额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</si>
</sst>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.00_ "/>
    <numFmt numFmtId="178" formatCode="0.00_);[Red]\(0.00\)"/>
  </numFmts>
  <fonts count="32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1"/>
      <color rgb="FFFFFFFF"/>
      <name val="宋体"/>
      <charset val="134"/>
    </font>
    <font>
      <sz val="11"/>
      <color rgb="FF000000"/>
      <name val="宋体"/>
      <charset val="134"/>
      <scheme val="minor"/>
    </font>
    <font>
      <sz val="11"/>
      <color rgb="FF000000"/>
      <name val="Microsoft YaHei"/>
      <charset val="134"/>
    </font>
    <font>
      <sz val="11"/>
      <color rgb="FF000000"/>
      <name val="Microsoft YaHei UI"/>
      <charset val="134"/>
    </font>
    <font>
      <sz val="11"/>
      <color rgb="FF000000"/>
      <name val="黑体"/>
      <charset val="134"/>
    </font>
    <font>
      <sz val="11"/>
      <color rgb="FF000000"/>
      <name val="Arial"/>
      <charset val="134"/>
    </font>
    <font>
      <sz val="11"/>
      <color rgb="FF000000"/>
      <name val="Microsoft JhengHei"/>
      <charset val="134"/>
    </font>
    <font>
      <sz val="11"/>
      <name val="宋体"/>
      <charset val="134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6AD3C"/>
        <bgColor indexed="64"/>
      </patternFill>
    </fill>
    <fill>
      <patternFill patternType="solid">
        <fgColor rgb="FFECF6E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11" applyNumberFormat="0" applyAlignment="0" applyProtection="0">
      <alignment vertical="center"/>
    </xf>
    <xf numFmtId="0" fontId="20" fillId="8" borderId="12" applyNumberFormat="0" applyAlignment="0" applyProtection="0">
      <alignment vertical="center"/>
    </xf>
    <xf numFmtId="0" fontId="21" fillId="8" borderId="11" applyNumberFormat="0" applyAlignment="0" applyProtection="0">
      <alignment vertical="center"/>
    </xf>
    <xf numFmtId="0" fontId="22" fillId="9" borderId="13" applyNumberFormat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76" fontId="1" fillId="0" borderId="0" xfId="0" applyNumberFormat="1" applyFont="1" applyFill="1" applyAlignment="1">
      <alignment vertical="center"/>
    </xf>
    <xf numFmtId="0" fontId="3" fillId="0" borderId="4" xfId="0" applyFont="1" applyFill="1" applyBorder="1" applyAlignment="1">
      <alignment horizontal="center"/>
    </xf>
    <xf numFmtId="177" fontId="4" fillId="0" borderId="5" xfId="0" applyNumberFormat="1" applyFont="1" applyFill="1" applyBorder="1" applyAlignment="1">
      <alignment horizontal="center" vertical="center" wrapText="1"/>
    </xf>
    <xf numFmtId="178" fontId="5" fillId="0" borderId="4" xfId="0" applyNumberFormat="1" applyFont="1" applyFill="1" applyBorder="1" applyAlignment="1">
      <alignment horizontal="center" vertical="center"/>
    </xf>
    <xf numFmtId="10" fontId="5" fillId="0" borderId="4" xfId="0" applyNumberFormat="1" applyFont="1" applyFill="1" applyBorder="1" applyAlignment="1">
      <alignment horizontal="center" vertical="center"/>
    </xf>
    <xf numFmtId="10" fontId="1" fillId="0" borderId="4" xfId="3" applyNumberFormat="1" applyFont="1" applyBorder="1" applyAlignment="1">
      <alignment horizontal="center" vertical="center"/>
    </xf>
    <xf numFmtId="0" fontId="5" fillId="0" borderId="4" xfId="0" applyNumberFormat="1" applyFont="1" applyFill="1" applyBorder="1" applyAlignment="1">
      <alignment horizontal="center" vertical="center"/>
    </xf>
    <xf numFmtId="176" fontId="1" fillId="0" borderId="4" xfId="0" applyNumberFormat="1" applyFont="1" applyFill="1" applyBorder="1" applyAlignment="1">
      <alignment horizontal="center" vertical="center"/>
    </xf>
    <xf numFmtId="0" fontId="5" fillId="3" borderId="4" xfId="0" applyNumberFormat="1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178" fontId="5" fillId="0" borderId="6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10" fontId="5" fillId="0" borderId="6" xfId="0" applyNumberFormat="1" applyFont="1" applyFill="1" applyBorder="1" applyAlignment="1" applyProtection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177" fontId="4" fillId="0" borderId="7" xfId="0" applyNumberFormat="1" applyFont="1" applyFill="1" applyBorder="1" applyAlignment="1">
      <alignment horizontal="center" vertical="center" wrapText="1"/>
    </xf>
    <xf numFmtId="176" fontId="1" fillId="0" borderId="7" xfId="0" applyNumberFormat="1" applyFont="1" applyFill="1" applyBorder="1" applyAlignment="1">
      <alignment horizontal="center" vertical="center"/>
    </xf>
    <xf numFmtId="39" fontId="6" fillId="0" borderId="6" xfId="0" applyNumberFormat="1" applyFont="1" applyFill="1" applyBorder="1" applyAlignment="1">
      <alignment horizontal="center" vertical="center"/>
    </xf>
    <xf numFmtId="10" fontId="5" fillId="0" borderId="6" xfId="0" applyNumberFormat="1" applyFont="1" applyFill="1" applyBorder="1" applyAlignment="1">
      <alignment horizontal="center" vertical="center"/>
    </xf>
    <xf numFmtId="176" fontId="1" fillId="0" borderId="5" xfId="0" applyNumberFormat="1" applyFont="1" applyFill="1" applyBorder="1" applyAlignment="1">
      <alignment horizontal="center" vertical="center"/>
    </xf>
    <xf numFmtId="39" fontId="6" fillId="0" borderId="4" xfId="0" applyNumberFormat="1" applyFont="1" applyFill="1" applyBorder="1" applyAlignment="1">
      <alignment horizontal="center" vertical="center"/>
    </xf>
    <xf numFmtId="39" fontId="7" fillId="0" borderId="4" xfId="0" applyNumberFormat="1" applyFont="1" applyFill="1" applyBorder="1" applyAlignment="1">
      <alignment horizontal="center" vertical="center"/>
    </xf>
    <xf numFmtId="10" fontId="8" fillId="0" borderId="4" xfId="0" applyNumberFormat="1" applyFont="1" applyFill="1" applyBorder="1" applyAlignment="1">
      <alignment horizontal="center" vertical="center"/>
    </xf>
    <xf numFmtId="39" fontId="3" fillId="0" borderId="4" xfId="0" applyNumberFormat="1" applyFont="1" applyFill="1" applyBorder="1" applyAlignment="1">
      <alignment horizontal="center" vertical="center"/>
    </xf>
    <xf numFmtId="0" fontId="8" fillId="3" borderId="4" xfId="0" applyNumberFormat="1" applyFont="1" applyFill="1" applyBorder="1" applyAlignment="1">
      <alignment horizontal="center" vertical="center"/>
    </xf>
    <xf numFmtId="10" fontId="8" fillId="5" borderId="4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178" fontId="7" fillId="0" borderId="4" xfId="0" applyNumberFormat="1" applyFont="1" applyFill="1" applyBorder="1" applyAlignment="1">
      <alignment horizontal="center" vertical="center"/>
    </xf>
    <xf numFmtId="176" fontId="9" fillId="0" borderId="7" xfId="0" applyNumberFormat="1" applyFont="1" applyFill="1" applyBorder="1" applyAlignment="1">
      <alignment horizontal="center" vertical="center"/>
    </xf>
    <xf numFmtId="176" fontId="9" fillId="0" borderId="5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 wrapText="1"/>
    </xf>
    <xf numFmtId="10" fontId="0" fillId="0" borderId="4" xfId="0" applyNumberFormat="1" applyFill="1" applyBorder="1" applyAlignment="1">
      <alignment horizontal="center" vertical="center" wrapText="1"/>
    </xf>
    <xf numFmtId="10" fontId="1" fillId="0" borderId="4" xfId="3" applyNumberFormat="1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10" fontId="0" fillId="0" borderId="4" xfId="0" applyNumberFormat="1" applyFill="1" applyBorder="1" applyAlignment="1">
      <alignment horizontal="center" vertical="center"/>
    </xf>
    <xf numFmtId="10" fontId="1" fillId="0" borderId="7" xfId="3" applyNumberFormat="1" applyFont="1" applyFill="1" applyBorder="1" applyAlignment="1">
      <alignment horizontal="center" vertical="center"/>
    </xf>
    <xf numFmtId="176" fontId="9" fillId="0" borderId="6" xfId="0" applyNumberFormat="1" applyFont="1" applyFill="1" applyBorder="1" applyAlignment="1">
      <alignment horizontal="center" vertical="center"/>
    </xf>
    <xf numFmtId="176" fontId="1" fillId="0" borderId="6" xfId="0" applyNumberFormat="1" applyFon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10" fontId="0" fillId="0" borderId="7" xfId="0" applyNumberFormat="1" applyFill="1" applyBorder="1" applyAlignment="1">
      <alignment horizontal="center" vertical="center"/>
    </xf>
    <xf numFmtId="37" fontId="3" fillId="0" borderId="4" xfId="0" applyNumberFormat="1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10" fontId="0" fillId="0" borderId="5" xfId="0" applyNumberFormat="1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10" fontId="0" fillId="0" borderId="6" xfId="0" applyNumberForma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7"/>
  <sheetViews>
    <sheetView tabSelected="1" workbookViewId="0">
      <selection activeCell="O2" sqref="O2:O10"/>
    </sheetView>
  </sheetViews>
  <sheetFormatPr defaultColWidth="9" defaultRowHeight="13.5"/>
  <cols>
    <col min="2" max="2" width="21.375" customWidth="1"/>
    <col min="3" max="3" width="28.625" customWidth="1"/>
    <col min="4" max="4" width="14" customWidth="1"/>
    <col min="5" max="5" width="12.625" customWidth="1"/>
    <col min="6" max="6" width="11.25" customWidth="1"/>
    <col min="7" max="7" width="15" customWidth="1"/>
  </cols>
  <sheetData>
    <row r="1" s="1" customFormat="1" ht="27" spans="1:20">
      <c r="A1" s="4" t="s">
        <v>0</v>
      </c>
      <c r="B1" s="5"/>
      <c r="C1" s="6"/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Q1" s="7"/>
      <c r="T1" s="7"/>
    </row>
    <row r="2" s="1" customFormat="1" ht="16.5" spans="1:20">
      <c r="A2" s="8" t="s">
        <v>13</v>
      </c>
      <c r="B2" s="8"/>
      <c r="C2" s="8"/>
      <c r="D2" s="9" t="s">
        <v>14</v>
      </c>
      <c r="E2" s="10">
        <v>175.48</v>
      </c>
      <c r="F2" s="10">
        <v>74.76</v>
      </c>
      <c r="G2" s="11" t="s">
        <v>15</v>
      </c>
      <c r="H2" s="12">
        <f>SUM(F2:F10)/(64522.83)</f>
        <v>0.017557816357404</v>
      </c>
      <c r="I2" s="10">
        <v>719.92</v>
      </c>
      <c r="J2" s="11">
        <f t="shared" ref="J2:J27" si="0">N2/L2</f>
        <v>0.0909090909090909</v>
      </c>
      <c r="K2" s="12">
        <f>O2/M2</f>
        <v>0.0572369775581635</v>
      </c>
      <c r="L2" s="13">
        <v>88</v>
      </c>
      <c r="M2" s="14">
        <f>6200-SUM(L2:L10)</f>
        <v>4857</v>
      </c>
      <c r="N2" s="15">
        <v>8</v>
      </c>
      <c r="O2" s="14">
        <f>379-SUM(N2:N10)</f>
        <v>278</v>
      </c>
      <c r="P2" s="16"/>
      <c r="Q2" s="16"/>
      <c r="R2" s="16"/>
      <c r="T2" s="7"/>
    </row>
    <row r="3" s="1" customFormat="1" ht="20" customHeight="1" spans="1:20">
      <c r="A3" s="8" t="s">
        <v>16</v>
      </c>
      <c r="B3" s="8"/>
      <c r="C3" s="8"/>
      <c r="D3" s="9"/>
      <c r="E3" s="17">
        <v>431.97</v>
      </c>
      <c r="F3" s="10">
        <v>220.85</v>
      </c>
      <c r="G3" s="11" t="s">
        <v>17</v>
      </c>
      <c r="H3" s="12"/>
      <c r="I3" s="10">
        <v>1259.86</v>
      </c>
      <c r="J3" s="11">
        <f t="shared" si="0"/>
        <v>0.0557768924302789</v>
      </c>
      <c r="K3" s="12"/>
      <c r="L3" s="13">
        <v>251</v>
      </c>
      <c r="M3" s="14"/>
      <c r="N3" s="15">
        <v>14</v>
      </c>
      <c r="O3" s="14"/>
      <c r="Q3" s="7"/>
      <c r="T3" s="7"/>
    </row>
    <row r="4" s="1" customFormat="1" ht="20" customHeight="1" spans="1:20">
      <c r="A4" s="8" t="s">
        <v>18</v>
      </c>
      <c r="B4" s="8"/>
      <c r="C4" s="8"/>
      <c r="D4" s="9"/>
      <c r="E4" s="10">
        <v>69.2</v>
      </c>
      <c r="F4" s="10">
        <v>29.19</v>
      </c>
      <c r="G4" s="11" t="s">
        <v>19</v>
      </c>
      <c r="H4" s="12"/>
      <c r="I4" s="10">
        <v>539.94</v>
      </c>
      <c r="J4" s="11">
        <f t="shared" si="0"/>
        <v>0.113207547169811</v>
      </c>
      <c r="K4" s="12"/>
      <c r="L4" s="13">
        <v>53</v>
      </c>
      <c r="M4" s="14"/>
      <c r="N4" s="15">
        <v>6</v>
      </c>
      <c r="O4" s="14"/>
      <c r="Q4" s="7"/>
      <c r="T4" s="7"/>
    </row>
    <row r="5" s="2" customFormat="1" ht="18" customHeight="1" spans="1:20">
      <c r="A5" s="18" t="s">
        <v>20</v>
      </c>
      <c r="B5" s="19"/>
      <c r="C5" s="20"/>
      <c r="D5" s="9"/>
      <c r="E5" s="10">
        <v>143.57</v>
      </c>
      <c r="F5" s="17">
        <v>59.19</v>
      </c>
      <c r="G5" s="21" t="s">
        <v>21</v>
      </c>
      <c r="H5" s="12"/>
      <c r="I5" s="10">
        <v>269.97</v>
      </c>
      <c r="J5" s="11">
        <f t="shared" si="0"/>
        <v>0.038961038961039</v>
      </c>
      <c r="K5" s="12"/>
      <c r="L5" s="13">
        <v>77</v>
      </c>
      <c r="M5" s="14"/>
      <c r="N5" s="15">
        <v>3</v>
      </c>
      <c r="O5" s="14"/>
      <c r="Q5" s="22"/>
      <c r="T5" s="22"/>
    </row>
    <row r="6" s="2" customFormat="1" ht="18" customHeight="1" spans="1:20">
      <c r="A6" s="18" t="s">
        <v>22</v>
      </c>
      <c r="B6" s="19"/>
      <c r="C6" s="20"/>
      <c r="D6" s="9"/>
      <c r="E6" s="17">
        <v>107.67</v>
      </c>
      <c r="F6" s="17">
        <v>56.81</v>
      </c>
      <c r="G6" s="21" t="s">
        <v>23</v>
      </c>
      <c r="H6" s="12"/>
      <c r="I6" s="10">
        <v>809.91</v>
      </c>
      <c r="J6" s="11">
        <f t="shared" si="0"/>
        <v>0.105882352941176</v>
      </c>
      <c r="K6" s="12"/>
      <c r="L6" s="13">
        <v>85</v>
      </c>
      <c r="M6" s="14"/>
      <c r="N6" s="15">
        <v>9</v>
      </c>
      <c r="O6" s="14"/>
      <c r="Q6" s="22"/>
      <c r="T6" s="22"/>
    </row>
    <row r="7" s="2" customFormat="1" ht="18" customHeight="1" spans="1:20">
      <c r="A7" s="18" t="s">
        <v>24</v>
      </c>
      <c r="B7" s="19"/>
      <c r="C7" s="20"/>
      <c r="D7" s="9"/>
      <c r="E7" s="17">
        <v>75.16</v>
      </c>
      <c r="F7" s="17">
        <v>43.68</v>
      </c>
      <c r="G7" s="21" t="s">
        <v>25</v>
      </c>
      <c r="H7" s="12"/>
      <c r="I7" s="10">
        <v>629.93</v>
      </c>
      <c r="J7" s="11">
        <f t="shared" si="0"/>
        <v>0.0707070707070707</v>
      </c>
      <c r="K7" s="12"/>
      <c r="L7" s="13">
        <v>99</v>
      </c>
      <c r="M7" s="14"/>
      <c r="N7" s="15">
        <v>7</v>
      </c>
      <c r="O7" s="14"/>
      <c r="Q7" s="22"/>
      <c r="T7" s="22"/>
    </row>
    <row r="8" s="2" customFormat="1" ht="18" customHeight="1" spans="1:20">
      <c r="A8" s="18" t="s">
        <v>26</v>
      </c>
      <c r="B8" s="19"/>
      <c r="C8" s="20"/>
      <c r="D8" s="9"/>
      <c r="E8" s="17">
        <v>0</v>
      </c>
      <c r="F8" s="17">
        <v>276.97</v>
      </c>
      <c r="G8" s="21" t="s">
        <v>27</v>
      </c>
      <c r="H8" s="12"/>
      <c r="I8" s="10">
        <v>2609.71</v>
      </c>
      <c r="J8" s="11">
        <f t="shared" si="0"/>
        <v>0.0938628158844765</v>
      </c>
      <c r="K8" s="12"/>
      <c r="L8" s="13">
        <v>277</v>
      </c>
      <c r="M8" s="14"/>
      <c r="N8" s="15">
        <v>26</v>
      </c>
      <c r="O8" s="14"/>
      <c r="Q8" s="22"/>
      <c r="T8" s="22"/>
    </row>
    <row r="9" s="2" customFormat="1" ht="18" customHeight="1" spans="1:20">
      <c r="A9" s="18" t="s">
        <v>28</v>
      </c>
      <c r="B9" s="19"/>
      <c r="C9" s="20"/>
      <c r="D9" s="9"/>
      <c r="E9" s="17">
        <v>0</v>
      </c>
      <c r="F9" s="17">
        <v>196.37</v>
      </c>
      <c r="G9" s="21" t="s">
        <v>29</v>
      </c>
      <c r="H9" s="12"/>
      <c r="I9" s="10">
        <v>1439.84</v>
      </c>
      <c r="J9" s="11">
        <f t="shared" si="0"/>
        <v>0.0701754385964912</v>
      </c>
      <c r="K9" s="12"/>
      <c r="L9" s="13">
        <v>228</v>
      </c>
      <c r="M9" s="14"/>
      <c r="N9" s="15">
        <v>16</v>
      </c>
      <c r="O9" s="14"/>
      <c r="Q9" s="22"/>
      <c r="T9" s="22"/>
    </row>
    <row r="10" s="2" customFormat="1" ht="18" customHeight="1" spans="1:20">
      <c r="A10" s="18" t="s">
        <v>30</v>
      </c>
      <c r="B10" s="19"/>
      <c r="C10" s="20"/>
      <c r="D10" s="9"/>
      <c r="E10" s="17">
        <v>0</v>
      </c>
      <c r="F10" s="17">
        <v>175.06</v>
      </c>
      <c r="G10" s="21" t="s">
        <v>31</v>
      </c>
      <c r="H10" s="12"/>
      <c r="I10" s="10">
        <v>409.96</v>
      </c>
      <c r="J10" s="11">
        <f t="shared" si="0"/>
        <v>0.0648648648648649</v>
      </c>
      <c r="K10" s="12"/>
      <c r="L10" s="13">
        <v>185</v>
      </c>
      <c r="M10" s="14"/>
      <c r="N10" s="15">
        <v>12</v>
      </c>
      <c r="O10" s="14"/>
      <c r="Q10" s="22"/>
      <c r="T10" s="22"/>
    </row>
    <row r="11" s="2" customFormat="1" ht="18" customHeight="1" spans="1:20">
      <c r="A11" s="18" t="s">
        <v>32</v>
      </c>
      <c r="B11" s="19"/>
      <c r="C11" s="20"/>
      <c r="D11" s="23" t="s">
        <v>33</v>
      </c>
      <c r="E11" s="17">
        <v>128.82</v>
      </c>
      <c r="F11" s="17">
        <v>77.78</v>
      </c>
      <c r="G11" s="21" t="s">
        <v>34</v>
      </c>
      <c r="H11" s="12">
        <f>SUM(F11:F13)/(2579.57)</f>
        <v>0.0425109611291804</v>
      </c>
      <c r="I11" s="10">
        <v>479.92</v>
      </c>
      <c r="J11" s="11">
        <f t="shared" si="0"/>
        <v>0.0459770114942529</v>
      </c>
      <c r="K11" s="12">
        <f t="shared" ref="K11:K16" si="1">O11/M11</f>
        <v>0.0151072124756335</v>
      </c>
      <c r="L11" s="13">
        <v>174</v>
      </c>
      <c r="M11" s="24">
        <f>2254-SUM(L11:L13)</f>
        <v>2052</v>
      </c>
      <c r="N11" s="15">
        <v>8</v>
      </c>
      <c r="O11" s="24">
        <f>43-SUM(N11:N13)</f>
        <v>31</v>
      </c>
      <c r="Q11" s="22"/>
      <c r="T11" s="22"/>
    </row>
    <row r="12" s="2" customFormat="1" ht="18" customHeight="1" spans="1:20">
      <c r="A12" s="18" t="s">
        <v>35</v>
      </c>
      <c r="B12" s="19"/>
      <c r="C12" s="20"/>
      <c r="D12" s="9"/>
      <c r="E12" s="25">
        <v>19.74</v>
      </c>
      <c r="F12" s="25">
        <v>20.71</v>
      </c>
      <c r="G12" s="26" t="s">
        <v>36</v>
      </c>
      <c r="H12" s="12"/>
      <c r="I12" s="10">
        <v>94.98</v>
      </c>
      <c r="J12" s="11">
        <f t="shared" si="0"/>
        <v>0.105263157894737</v>
      </c>
      <c r="K12" s="12"/>
      <c r="L12" s="13">
        <v>19</v>
      </c>
      <c r="M12" s="27"/>
      <c r="N12" s="15">
        <v>2</v>
      </c>
      <c r="O12" s="27"/>
      <c r="Q12" s="22"/>
      <c r="T12" s="22"/>
    </row>
    <row r="13" s="2" customFormat="1" ht="18" customHeight="1" spans="1:20">
      <c r="A13" s="18" t="s">
        <v>37</v>
      </c>
      <c r="B13" s="19"/>
      <c r="C13" s="20"/>
      <c r="D13" s="9"/>
      <c r="E13" s="25">
        <v>0</v>
      </c>
      <c r="F13" s="25">
        <v>11.17</v>
      </c>
      <c r="G13" s="26" t="s">
        <v>38</v>
      </c>
      <c r="H13" s="12"/>
      <c r="I13" s="10">
        <v>94.98</v>
      </c>
      <c r="J13" s="11">
        <f t="shared" si="0"/>
        <v>0.222222222222222</v>
      </c>
      <c r="K13" s="12"/>
      <c r="L13" s="13">
        <v>9</v>
      </c>
      <c r="M13" s="27"/>
      <c r="N13" s="15">
        <v>2</v>
      </c>
      <c r="O13" s="27"/>
      <c r="Q13" s="22"/>
      <c r="T13" s="22"/>
    </row>
    <row r="14" s="2" customFormat="1" ht="18" customHeight="1" spans="1:20">
      <c r="A14" s="8" t="s">
        <v>39</v>
      </c>
      <c r="B14" s="8"/>
      <c r="C14" s="8"/>
      <c r="D14" s="23" t="s">
        <v>40</v>
      </c>
      <c r="E14" s="28" t="s">
        <v>41</v>
      </c>
      <c r="F14" s="28">
        <v>269.88</v>
      </c>
      <c r="G14" s="11" t="s">
        <v>42</v>
      </c>
      <c r="H14" s="12">
        <f>SUM(F14:F14)/(10148.55)</f>
        <v>0.0265929615560844</v>
      </c>
      <c r="I14" s="10">
        <v>2219.67</v>
      </c>
      <c r="J14" s="11">
        <f t="shared" si="0"/>
        <v>0.0529411764705882</v>
      </c>
      <c r="K14" s="12">
        <f t="shared" si="1"/>
        <v>0.0827974276527331</v>
      </c>
      <c r="L14" s="13">
        <v>510</v>
      </c>
      <c r="M14" s="24">
        <f>2004-SUM(L14:L15)</f>
        <v>1244</v>
      </c>
      <c r="N14" s="15">
        <v>27</v>
      </c>
      <c r="O14" s="24">
        <f>145-SUM(N14:N15)</f>
        <v>103</v>
      </c>
      <c r="Q14" s="22"/>
      <c r="T14" s="22"/>
    </row>
    <row r="15" s="3" customFormat="1" ht="16.5" spans="1:20">
      <c r="A15" s="8" t="s">
        <v>43</v>
      </c>
      <c r="B15" s="8"/>
      <c r="C15" s="8"/>
      <c r="D15" s="9"/>
      <c r="E15" s="29" t="s">
        <v>41</v>
      </c>
      <c r="F15" s="29">
        <v>205.83</v>
      </c>
      <c r="G15" s="30" t="s">
        <v>44</v>
      </c>
      <c r="H15" s="12"/>
      <c r="I15" s="31">
        <v>1084.85</v>
      </c>
      <c r="J15" s="11">
        <f t="shared" si="0"/>
        <v>0.06</v>
      </c>
      <c r="K15" s="12"/>
      <c r="L15" s="13">
        <v>250</v>
      </c>
      <c r="M15" s="27"/>
      <c r="N15" s="32">
        <v>15</v>
      </c>
      <c r="O15" s="27"/>
    </row>
    <row r="16" s="3" customFormat="1" ht="16.5" spans="1:20">
      <c r="A16" s="8" t="s">
        <v>45</v>
      </c>
      <c r="B16" s="8"/>
      <c r="C16" s="8"/>
      <c r="D16" s="23" t="s">
        <v>46</v>
      </c>
      <c r="E16" s="29">
        <v>158.15</v>
      </c>
      <c r="F16" s="29">
        <v>107.15</v>
      </c>
      <c r="G16" s="33" t="s">
        <v>47</v>
      </c>
      <c r="H16" s="12">
        <f>SUM(F16:F16)/(2169.38)</f>
        <v>0.0493919921820981</v>
      </c>
      <c r="I16" s="31">
        <v>384.89</v>
      </c>
      <c r="J16" s="11">
        <f t="shared" si="0"/>
        <v>0.0802919708029197</v>
      </c>
      <c r="K16" s="12">
        <f t="shared" si="1"/>
        <v>0.0301602262016965</v>
      </c>
      <c r="L16" s="13">
        <v>137</v>
      </c>
      <c r="M16" s="24">
        <f>1198-SUM(L16:L16)</f>
        <v>1061</v>
      </c>
      <c r="N16" s="32">
        <v>11</v>
      </c>
      <c r="O16" s="24">
        <f>43-SUM(N16:N16)</f>
        <v>32</v>
      </c>
    </row>
    <row r="17" s="3" customFormat="1" ht="16.5" spans="1:15">
      <c r="A17" s="34" t="s">
        <v>48</v>
      </c>
      <c r="B17" s="35"/>
      <c r="C17" s="36"/>
      <c r="D17" s="9"/>
      <c r="E17" s="29">
        <v>105.68</v>
      </c>
      <c r="F17" s="37">
        <v>17.91</v>
      </c>
      <c r="G17" s="33" t="s">
        <v>49</v>
      </c>
      <c r="H17" s="12"/>
      <c r="I17" s="10">
        <v>39.99</v>
      </c>
      <c r="J17" s="11">
        <f t="shared" si="0"/>
        <v>0.0833333333333333</v>
      </c>
      <c r="K17" s="12"/>
      <c r="L17" s="13">
        <v>24</v>
      </c>
      <c r="M17" s="27"/>
      <c r="N17" s="32">
        <v>2</v>
      </c>
      <c r="O17" s="27"/>
    </row>
    <row r="18" s="3" customFormat="1" ht="16.5" spans="1:15">
      <c r="A18" s="8" t="s">
        <v>50</v>
      </c>
      <c r="B18" s="8"/>
      <c r="C18" s="8"/>
      <c r="D18" s="23" t="s">
        <v>51</v>
      </c>
      <c r="E18" s="37">
        <v>73.43</v>
      </c>
      <c r="F18" s="37">
        <v>77.41</v>
      </c>
      <c r="G18" s="30" t="s">
        <v>52</v>
      </c>
      <c r="H18" s="12"/>
      <c r="I18" s="10">
        <v>309.97</v>
      </c>
      <c r="J18" s="11">
        <f t="shared" si="0"/>
        <v>0.0379746835443038</v>
      </c>
      <c r="K18" s="12"/>
      <c r="L18" s="13">
        <v>237</v>
      </c>
      <c r="M18" s="38"/>
      <c r="N18" s="32">
        <v>9</v>
      </c>
      <c r="O18" s="24"/>
    </row>
    <row r="19" s="3" customFormat="1" ht="16.5" spans="1:15">
      <c r="A19" s="8" t="s">
        <v>53</v>
      </c>
      <c r="B19" s="8"/>
      <c r="C19" s="8"/>
      <c r="D19" s="9"/>
      <c r="E19" s="37">
        <v>67.2</v>
      </c>
      <c r="F19" s="37">
        <v>25</v>
      </c>
      <c r="G19" s="30">
        <v>0.122</v>
      </c>
      <c r="H19" s="12"/>
      <c r="I19" s="10">
        <v>99.99</v>
      </c>
      <c r="J19" s="11">
        <f t="shared" si="0"/>
        <v>0.0645161290322581</v>
      </c>
      <c r="K19" s="12"/>
      <c r="L19" s="13">
        <v>31</v>
      </c>
      <c r="M19" s="39"/>
      <c r="N19" s="32">
        <v>2</v>
      </c>
      <c r="O19" s="27"/>
    </row>
    <row r="20" s="3" customFormat="1" ht="16.5" spans="1:15">
      <c r="A20" s="40" t="s">
        <v>54</v>
      </c>
      <c r="B20" s="41"/>
      <c r="C20" s="42"/>
      <c r="D20" s="9"/>
      <c r="E20" s="43">
        <v>40.21</v>
      </c>
      <c r="F20" s="43">
        <v>67.83</v>
      </c>
      <c r="G20" s="44" t="s">
        <v>55</v>
      </c>
      <c r="H20" s="45"/>
      <c r="I20" s="46">
        <v>510.95</v>
      </c>
      <c r="J20" s="11">
        <f t="shared" si="0"/>
        <v>0.0324324324324324</v>
      </c>
      <c r="K20" s="45"/>
      <c r="L20" s="47">
        <v>185</v>
      </c>
      <c r="M20" s="39"/>
      <c r="N20" s="46">
        <v>6</v>
      </c>
      <c r="O20" s="27"/>
    </row>
    <row r="21" s="3" customFormat="1" ht="16.5" spans="1:15">
      <c r="A21" s="48" t="s">
        <v>56</v>
      </c>
      <c r="B21" s="49"/>
      <c r="C21" s="50"/>
      <c r="D21" s="9"/>
      <c r="E21" s="51">
        <v>0</v>
      </c>
      <c r="F21" s="51">
        <v>19.79</v>
      </c>
      <c r="G21" s="52" t="s">
        <v>57</v>
      </c>
      <c r="H21" s="45"/>
      <c r="I21" s="46">
        <v>99.99</v>
      </c>
      <c r="J21" s="11">
        <f t="shared" si="0"/>
        <v>0.027027027027027</v>
      </c>
      <c r="K21" s="45"/>
      <c r="L21" s="46">
        <v>37</v>
      </c>
      <c r="M21" s="39"/>
      <c r="N21" s="46">
        <v>1</v>
      </c>
      <c r="O21" s="27"/>
    </row>
    <row r="22" s="3" customFormat="1" ht="16.5" spans="1:15">
      <c r="A22" s="48" t="s">
        <v>58</v>
      </c>
      <c r="B22" s="49"/>
      <c r="C22" s="50"/>
      <c r="D22" s="9"/>
      <c r="E22" s="51">
        <v>0</v>
      </c>
      <c r="F22" s="51">
        <v>17.86</v>
      </c>
      <c r="G22" s="52" t="s">
        <v>59</v>
      </c>
      <c r="H22" s="45"/>
      <c r="I22" s="46">
        <v>104.99</v>
      </c>
      <c r="J22" s="11">
        <f t="shared" si="0"/>
        <v>0.0769230769230769</v>
      </c>
      <c r="K22" s="45"/>
      <c r="L22" s="46">
        <v>13</v>
      </c>
      <c r="M22" s="39"/>
      <c r="N22" s="46">
        <v>1</v>
      </c>
      <c r="O22" s="27"/>
    </row>
    <row r="23" s="3" customFormat="1" ht="16.5" hidden="1" spans="1:15">
      <c r="A23" s="46" t="s">
        <v>54</v>
      </c>
      <c r="B23" s="46"/>
      <c r="C23" s="46"/>
      <c r="D23" s="46" t="s">
        <v>60</v>
      </c>
      <c r="E23" s="51">
        <v>105.16</v>
      </c>
      <c r="F23" s="51">
        <v>55.57</v>
      </c>
      <c r="G23" s="52">
        <v>0.125</v>
      </c>
      <c r="H23" s="45"/>
      <c r="I23" s="46">
        <v>219.98</v>
      </c>
      <c r="J23" s="11">
        <f t="shared" si="0"/>
        <v>0.0153846153846154</v>
      </c>
      <c r="K23" s="45"/>
      <c r="L23" s="46">
        <v>130</v>
      </c>
      <c r="M23" s="39"/>
      <c r="N23" s="46">
        <v>2</v>
      </c>
      <c r="O23" s="27"/>
    </row>
    <row r="24" s="3" customFormat="1" ht="16.5" hidden="1" spans="1:15">
      <c r="A24" s="48" t="s">
        <v>61</v>
      </c>
      <c r="B24" s="49"/>
      <c r="C24" s="50"/>
      <c r="D24" s="46"/>
      <c r="E24" s="46">
        <v>0</v>
      </c>
      <c r="F24" s="46">
        <v>34.36</v>
      </c>
      <c r="G24" s="46" t="s">
        <v>62</v>
      </c>
      <c r="H24" s="53"/>
      <c r="I24" s="31">
        <v>350.97</v>
      </c>
      <c r="J24" s="11">
        <f t="shared" si="0"/>
        <v>0.0625</v>
      </c>
      <c r="K24" s="12"/>
      <c r="L24" s="46">
        <v>48</v>
      </c>
      <c r="M24" s="54"/>
      <c r="N24" s="46">
        <v>3</v>
      </c>
      <c r="O24" s="55"/>
    </row>
    <row r="25" s="3" customFormat="1" ht="16.5" spans="1:15">
      <c r="A25" s="46" t="s">
        <v>63</v>
      </c>
      <c r="B25" s="46"/>
      <c r="C25" s="46"/>
      <c r="D25" s="56" t="s">
        <v>64</v>
      </c>
      <c r="E25" s="46">
        <v>46.37</v>
      </c>
      <c r="F25" s="46">
        <v>42.43</v>
      </c>
      <c r="G25" s="46" t="s">
        <v>65</v>
      </c>
      <c r="H25" s="57">
        <f>SUM(F25:F27)/(2339.87)</f>
        <v>0.0420920820387457</v>
      </c>
      <c r="I25" s="31">
        <v>539.97</v>
      </c>
      <c r="J25" s="11">
        <f t="shared" si="0"/>
        <v>0.0666666666666667</v>
      </c>
      <c r="K25" s="12">
        <f>O25/M25</f>
        <v>0.0170777988614801</v>
      </c>
      <c r="L25" s="58">
        <v>45</v>
      </c>
      <c r="M25" s="56">
        <f>642-SUM(L25:L27)</f>
        <v>527</v>
      </c>
      <c r="N25" s="46">
        <v>3</v>
      </c>
      <c r="O25" s="56">
        <f>13-SUM(N25:N27)</f>
        <v>9</v>
      </c>
    </row>
    <row r="26" s="3" customFormat="1" ht="16.5" spans="1:15">
      <c r="A26" s="46" t="s">
        <v>66</v>
      </c>
      <c r="B26" s="46"/>
      <c r="C26" s="46"/>
      <c r="D26" s="59"/>
      <c r="E26" s="46">
        <v>30.63</v>
      </c>
      <c r="F26" s="46">
        <v>26.63</v>
      </c>
      <c r="G26" s="46" t="s">
        <v>67</v>
      </c>
      <c r="H26" s="60"/>
      <c r="I26" s="46">
        <v>179.99</v>
      </c>
      <c r="J26" s="11">
        <f t="shared" si="0"/>
        <v>0.0303030303030303</v>
      </c>
      <c r="K26" s="12"/>
      <c r="L26" s="58">
        <v>33</v>
      </c>
      <c r="M26" s="59"/>
      <c r="N26" s="46">
        <v>1</v>
      </c>
      <c r="O26" s="59"/>
    </row>
    <row r="27" s="3" customFormat="1" ht="16.5" spans="1:15">
      <c r="A27" s="46" t="s">
        <v>68</v>
      </c>
      <c r="B27" s="46"/>
      <c r="C27" s="46"/>
      <c r="D27" s="61"/>
      <c r="E27" s="46">
        <v>33.6</v>
      </c>
      <c r="F27" s="46">
        <v>29.43</v>
      </c>
      <c r="G27" s="62" t="s">
        <v>69</v>
      </c>
      <c r="H27" s="63"/>
      <c r="I27" s="46">
        <v>0</v>
      </c>
      <c r="J27" s="11">
        <f t="shared" si="0"/>
        <v>0</v>
      </c>
      <c r="K27" s="45"/>
      <c r="L27" s="46">
        <v>37</v>
      </c>
      <c r="M27" s="61"/>
      <c r="N27" s="46">
        <v>0</v>
      </c>
      <c r="O27" s="61"/>
    </row>
  </sheetData>
  <mergeCells count="59">
    <mergeCell ref="A1:C1"/>
    <mergeCell ref="A2:C2"/>
    <mergeCell ref="P2:R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D2:D10"/>
    <mergeCell ref="D11:D13"/>
    <mergeCell ref="D14:D15"/>
    <mergeCell ref="D16:D17"/>
    <mergeCell ref="D18:D22"/>
    <mergeCell ref="D23:D24"/>
    <mergeCell ref="D25:D27"/>
    <mergeCell ref="H2:H10"/>
    <mergeCell ref="H11:H13"/>
    <mergeCell ref="H14:H15"/>
    <mergeCell ref="H16:H17"/>
    <mergeCell ref="H18:H22"/>
    <mergeCell ref="H25:H27"/>
    <mergeCell ref="K2:K10"/>
    <mergeCell ref="K11:K13"/>
    <mergeCell ref="K14:K15"/>
    <mergeCell ref="K16:K17"/>
    <mergeCell ref="K18:K24"/>
    <mergeCell ref="K25:K27"/>
    <mergeCell ref="M2:M10"/>
    <mergeCell ref="M11:M13"/>
    <mergeCell ref="M14:M15"/>
    <mergeCell ref="M16:M17"/>
    <mergeCell ref="M18:M24"/>
    <mergeCell ref="M25:M27"/>
    <mergeCell ref="O2:O10"/>
    <mergeCell ref="O11:O13"/>
    <mergeCell ref="O14:O15"/>
    <mergeCell ref="O16:O17"/>
    <mergeCell ref="O18:O24"/>
    <mergeCell ref="O25:O27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。</cp:lastModifiedBy>
  <dcterms:created xsi:type="dcterms:W3CDTF">2026-05-14T02:26:05Z</dcterms:created>
  <dcterms:modified xsi:type="dcterms:W3CDTF">2026-05-14T07:10:23Z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60929AC2A0954B5283504219165B3F07_11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